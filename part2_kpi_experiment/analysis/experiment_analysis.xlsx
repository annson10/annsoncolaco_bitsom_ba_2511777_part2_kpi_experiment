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70" windowWidth="18880" windowHeight="5990"/>
  </bookViews>
  <sheets>
    <sheet name="experiment_data_cleaned" sheetId="3" r:id="rId1"/>
    <sheet name="analysis_check" sheetId="4" r:id="rId2"/>
    <sheet name="Hypothesis_Test" sheetId="5" r:id="rId3"/>
  </sheets>
  <definedNames>
    <definedName name="_xlnm._FilterDatabase" localSheetId="0" hidden="1">experiment_data_cleaned!$A$1:$P$1401</definedName>
  </definedNames>
  <calcPr calcId="145621"/>
</workbook>
</file>

<file path=xl/calcChain.xml><?xml version="1.0" encoding="utf-8"?>
<calcChain xmlns="http://schemas.openxmlformats.org/spreadsheetml/2006/main">
  <c r="G7" i="5" l="1"/>
  <c r="G5" i="5"/>
  <c r="G4" i="5"/>
  <c r="G3" i="5"/>
  <c r="G2" i="5"/>
  <c r="C5" i="5"/>
  <c r="B5" i="5"/>
  <c r="C4" i="5"/>
  <c r="B4" i="5"/>
</calcChain>
</file>

<file path=xl/sharedStrings.xml><?xml version="1.0" encoding="utf-8"?>
<sst xmlns="http://schemas.openxmlformats.org/spreadsheetml/2006/main" count="8475" uniqueCount="1457">
  <si>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</si>
  <si>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</si>
  <si>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</si>
  <si>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</si>
  <si>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</si>
  <si>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</si>
  <si>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</si>
  <si>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</si>
  <si>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</si>
  <si>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</si>
  <si>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</si>
  <si>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</si>
  <si>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</si>
  <si>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</si>
  <si>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</si>
  <si>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</si>
  <si>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</si>
  <si>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</si>
  <si>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</si>
  <si>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</si>
  <si>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</si>
  <si>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</si>
  <si>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</si>
  <si>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</si>
  <si>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</si>
  <si>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</si>
  <si>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</si>
  <si>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</si>
  <si>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</si>
  <si>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</si>
  <si>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</si>
  <si>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</si>
  <si>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</si>
  <si>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</si>
  <si>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</si>
  <si>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</si>
  <si>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</si>
  <si>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</si>
  <si>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</si>
  <si>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</si>
  <si>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</si>
  <si>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</si>
  <si>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</si>
  <si>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</si>
  <si>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</si>
  <si>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</si>
  <si>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</si>
  <si>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</si>
  <si>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</si>
  <si>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</si>
  <si>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</si>
  <si>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</si>
  <si>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</si>
  <si>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</si>
  <si>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</si>
  <si>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</si>
  <si>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</si>
  <si>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</si>
  <si>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</si>
  <si>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</si>
  <si>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</si>
  <si>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</si>
  <si>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</si>
  <si>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</si>
  <si>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</si>
  <si>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</si>
  <si>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</si>
  <si>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</si>
  <si>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</si>
  <si>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</si>
  <si>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</si>
  <si>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</si>
  <si>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</si>
  <si>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</si>
  <si>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</si>
  <si>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</si>
  <si>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</si>
  <si>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</si>
  <si>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</si>
  <si>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</si>
  <si>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</si>
  <si>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</si>
  <si>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</si>
  <si>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</si>
  <si>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</si>
  <si>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</si>
  <si>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</si>
  <si>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</si>
  <si>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</si>
  <si>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</si>
  <si>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</si>
  <si>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</si>
  <si>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</si>
  <si>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</si>
  <si>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</si>
  <si>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</si>
  <si>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</si>
  <si>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</si>
  <si>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</si>
  <si>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</si>
  <si>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</si>
  <si>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</si>
  <si>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</si>
  <si>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</si>
  <si>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</si>
  <si>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</si>
  <si>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</si>
  <si>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</si>
  <si>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</si>
  <si>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</si>
  <si>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</si>
  <si>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</si>
  <si>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</si>
  <si>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</si>
  <si>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</si>
  <si>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</si>
  <si>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</si>
  <si>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</si>
  <si>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</si>
  <si>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</si>
  <si>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</si>
  <si>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</si>
  <si>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</si>
  <si>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</si>
  <si>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</si>
  <si>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</si>
  <si>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</si>
  <si>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</si>
  <si>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</si>
  <si>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</si>
  <si>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</si>
  <si>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</si>
  <si>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</si>
  <si>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</si>
  <si>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</si>
  <si>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</si>
  <si>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</si>
  <si>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</si>
  <si>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</si>
  <si>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</si>
  <si>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</si>
  <si>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</si>
  <si>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</si>
  <si>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</si>
  <si>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</si>
  <si>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</si>
  <si>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</si>
  <si>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</si>
  <si>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</si>
  <si>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</si>
  <si>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</si>
  <si>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</si>
  <si>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</si>
  <si>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</si>
  <si>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</si>
  <si>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</si>
  <si>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</si>
  <si>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</si>
  <si>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</si>
  <si>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</si>
  <si>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</si>
  <si>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</si>
  <si>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</si>
  <si>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</si>
  <si>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</si>
  <si>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</si>
  <si>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</si>
  <si>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</si>
  <si>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</si>
  <si>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</si>
  <si>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</si>
  <si>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</si>
  <si>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</si>
  <si>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</si>
  <si>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</si>
  <si>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</si>
  <si>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</si>
  <si>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</si>
  <si>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</si>
  <si>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</si>
  <si>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</si>
  <si>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</si>
  <si>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</si>
  <si>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</si>
  <si>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</si>
  <si>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</si>
  <si>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</si>
  <si>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</si>
  <si>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</si>
  <si>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</si>
  <si>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</si>
  <si>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</si>
  <si>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</si>
  <si>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</si>
  <si>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</si>
  <si>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</si>
  <si>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</si>
  <si>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</si>
  <si>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</si>
  <si>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</si>
  <si>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</si>
  <si>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</si>
  <si>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</si>
  <si>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</si>
  <si>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</si>
  <si>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</si>
  <si>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</si>
  <si>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</si>
  <si>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</si>
  <si>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</si>
  <si>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</si>
  <si>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</si>
  <si>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</si>
  <si>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</si>
  <si>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</si>
  <si>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</si>
  <si>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</si>
  <si>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</si>
  <si>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</si>
  <si>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</si>
  <si>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</si>
  <si>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</si>
  <si>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</si>
  <si>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</si>
  <si>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</si>
  <si>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</si>
  <si>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</si>
  <si>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</si>
  <si>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</si>
  <si>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</si>
  <si>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</si>
  <si>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</si>
  <si>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</si>
  <si>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</si>
  <si>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</si>
  <si>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</si>
  <si>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</si>
  <si>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</si>
  <si>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</si>
  <si>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</si>
  <si>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</si>
  <si>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</si>
  <si>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</si>
  <si>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</si>
  <si>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</si>
  <si>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</si>
  <si>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</si>
  <si>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</si>
  <si>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</si>
  <si>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</si>
  <si>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</si>
  <si>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</si>
  <si>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</si>
  <si>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</si>
  <si>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</si>
  <si>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</si>
  <si>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</si>
  <si>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</si>
  <si>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</si>
  <si>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</si>
  <si>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</si>
  <si>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</si>
  <si>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</si>
  <si>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</si>
  <si>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</si>
  <si>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</si>
  <si>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</si>
  <si>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</si>
  <si>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</si>
  <si>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</si>
  <si>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</si>
  <si>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</si>
  <si>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</si>
  <si>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</si>
  <si>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</si>
  <si>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</si>
  <si>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</si>
  <si>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</si>
  <si>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</si>
  <si>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</si>
  <si>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</si>
  <si>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</si>
  <si>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</si>
  <si>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</si>
  <si>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</si>
  <si>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</si>
  <si>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</si>
  <si>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</si>
  <si>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</si>
  <si>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</si>
  <si>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</si>
  <si>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</si>
  <si>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</si>
  <si>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</si>
  <si>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</si>
  <si>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</si>
  <si>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</si>
  <si>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</si>
  <si>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</si>
  <si>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</si>
  <si>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</si>
  <si>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</si>
  <si>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</si>
  <si>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</si>
  <si>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</si>
  <si>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</si>
  <si>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</si>
  <si>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</si>
  <si>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</si>
  <si>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</si>
  <si>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</si>
  <si>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</si>
  <si>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</si>
  <si>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</si>
  <si>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</si>
  <si>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</si>
  <si>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</si>
  <si>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</si>
  <si>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</si>
  <si>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</si>
  <si>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</si>
  <si>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</si>
  <si>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</si>
  <si>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</si>
  <si>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</si>
  <si>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</si>
  <si>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</si>
  <si>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</si>
  <si>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</si>
  <si>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</si>
  <si>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</si>
  <si>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</si>
  <si>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</si>
  <si>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</si>
  <si>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</si>
  <si>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</si>
  <si>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</si>
  <si>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</si>
  <si>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</si>
  <si>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</si>
  <si>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</si>
  <si>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</si>
  <si>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</si>
  <si>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</si>
  <si>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</si>
  <si>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</si>
  <si>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</si>
  <si>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</si>
  <si>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</si>
  <si>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</si>
  <si>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</si>
  <si>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</si>
  <si>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</si>
  <si>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</si>
  <si>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</si>
  <si>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</si>
  <si>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</si>
  <si>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</si>
  <si>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</si>
  <si>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</si>
  <si>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</si>
  <si>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</si>
  <si>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</si>
  <si>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</si>
  <si>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</si>
  <si>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</si>
  <si>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</si>
  <si>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</si>
  <si>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</si>
  <si>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</si>
  <si>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</si>
  <si>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</si>
  <si>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</si>
  <si>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</si>
  <si>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</si>
  <si>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</si>
  <si>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</si>
  <si>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</si>
  <si>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</si>
  <si>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</si>
  <si>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</si>
  <si>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</si>
  <si>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</si>
  <si>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</si>
  <si>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</si>
  <si>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</si>
  <si>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</si>
  <si>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</si>
  <si>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</si>
  <si>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</si>
  <si>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</si>
  <si>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</si>
  <si>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</si>
  <si>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</si>
  <si>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</si>
  <si>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</si>
  <si>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</si>
  <si>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</si>
  <si>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</si>
  <si>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</si>
  <si>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</si>
  <si>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</si>
  <si>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</si>
  <si>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</si>
  <si>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</si>
  <si>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</si>
  <si>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</si>
  <si>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</si>
  <si>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</si>
  <si>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</si>
  <si>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</si>
  <si>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</si>
  <si>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</si>
  <si>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</si>
  <si>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</si>
  <si>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</si>
  <si>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</si>
  <si>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</si>
  <si>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</si>
  <si>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</si>
  <si>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</si>
  <si>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</si>
  <si>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</si>
  <si>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</si>
  <si>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</si>
  <si>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</si>
  <si>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</si>
  <si>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</si>
  <si>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</si>
  <si>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</si>
  <si>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</si>
  <si>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</si>
  <si>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</si>
  <si>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</si>
  <si>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</si>
  <si>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</si>
  <si>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</si>
  <si>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</si>
  <si>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</si>
  <si>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</si>
  <si>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</si>
  <si>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</si>
  <si>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</si>
  <si>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</si>
  <si>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</si>
  <si>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</si>
  <si>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</si>
  <si>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</si>
  <si>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</si>
  <si>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</si>
  <si>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</si>
  <si>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</si>
  <si>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</si>
  <si>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</si>
  <si>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</si>
  <si>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</si>
  <si>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</si>
  <si>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</si>
  <si>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</si>
  <si>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</si>
  <si>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</si>
  <si>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</si>
  <si>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</si>
  <si>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</si>
  <si>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</si>
  <si>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</si>
  <si>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</si>
  <si>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</si>
  <si>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</si>
  <si>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</si>
  <si>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</si>
  <si>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</si>
  <si>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</si>
  <si>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</si>
  <si>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</si>
  <si>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</si>
  <si>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</si>
  <si>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</si>
  <si>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</si>
  <si>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</si>
  <si>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</si>
  <si>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</si>
  <si>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</si>
  <si>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</si>
  <si>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</si>
  <si>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</si>
  <si>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</si>
  <si>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</si>
  <si>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</si>
  <si>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</si>
  <si>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</si>
  <si>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</si>
  <si>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</si>
  <si>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</si>
  <si>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</si>
  <si>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</si>
  <si>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</si>
  <si>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</si>
  <si>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</si>
  <si>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</si>
  <si>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</si>
  <si>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</si>
  <si>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</si>
  <si>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</si>
  <si>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</si>
  <si>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</si>
  <si>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</si>
  <si>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</si>
  <si>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</si>
  <si>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</si>
  <si>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</si>
  <si>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</si>
  <si>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</si>
  <si>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</si>
  <si>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</si>
  <si>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</si>
  <si>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</si>
  <si>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</si>
  <si>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</si>
  <si>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</si>
  <si>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</si>
  <si>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</si>
  <si>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</si>
  <si>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</si>
  <si>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</si>
  <si>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</si>
  <si>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</si>
  <si>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</si>
  <si>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</si>
  <si>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</si>
  <si>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</si>
  <si>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</si>
  <si>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</si>
  <si>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</si>
  <si>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</si>
  <si>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</si>
  <si>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</si>
  <si>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</si>
  <si>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</si>
  <si>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</si>
  <si>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</si>
  <si>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</si>
  <si>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</si>
  <si>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</si>
  <si>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</si>
  <si>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</si>
  <si>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</si>
  <si>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</si>
  <si>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</si>
  <si>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</si>
  <si>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</si>
  <si>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</si>
  <si>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</si>
  <si>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</si>
  <si>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</si>
  <si>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</si>
  <si>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</si>
  <si>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</si>
  <si>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</si>
  <si>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</si>
  <si>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</si>
  <si>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</si>
  <si>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</si>
  <si>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</si>
  <si>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</si>
  <si>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</si>
  <si>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</si>
  <si>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</si>
  <si>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</si>
  <si>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</si>
  <si>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</si>
  <si>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</si>
  <si>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</si>
  <si>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</si>
  <si>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</si>
  <si>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</si>
  <si>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</si>
  <si>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</si>
  <si>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</si>
  <si>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</si>
  <si>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</si>
  <si>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</si>
  <si>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</si>
  <si>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</si>
  <si>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</si>
  <si>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</si>
  <si>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</si>
  <si>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</si>
  <si>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</si>
  <si>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</si>
  <si>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</si>
  <si>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</si>
  <si>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</si>
  <si>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</si>
  <si>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</si>
  <si>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</si>
  <si>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</si>
  <si>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</si>
  <si>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</si>
  <si>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</si>
  <si>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</si>
  <si>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</si>
  <si>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</si>
  <si>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</si>
  <si>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</si>
  <si>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</si>
  <si>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</si>
  <si>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</si>
  <si>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</si>
  <si>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</si>
  <si>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</si>
  <si>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</si>
  <si>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</si>
  <si>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</si>
  <si>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</si>
  <si>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</si>
  <si>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</si>
  <si>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</si>
  <si>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</si>
  <si>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</si>
  <si>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</si>
  <si>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</si>
  <si>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</si>
  <si>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</si>
  <si>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</si>
  <si>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</si>
  <si>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</si>
  <si>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</si>
  <si>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</si>
  <si>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</si>
  <si>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</si>
  <si>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</si>
  <si>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</si>
  <si>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</si>
  <si>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</si>
  <si>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</si>
  <si>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</si>
  <si>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</si>
  <si>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</si>
  <si>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</si>
  <si>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</si>
  <si>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</si>
  <si>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</si>
  <si>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</si>
  <si>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</si>
  <si>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</si>
  <si>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</si>
  <si>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</si>
  <si>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</si>
  <si>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</si>
  <si>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</si>
  <si>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</si>
  <si>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</si>
  <si>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</si>
  <si>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</si>
  <si>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</si>
  <si>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</si>
  <si>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</si>
  <si>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</si>
  <si>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</si>
  <si>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</si>
  <si>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</si>
  <si>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</si>
  <si>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</si>
  <si>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</si>
  <si>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</si>
  <si>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</si>
  <si>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</si>
  <si>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</si>
  <si>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</si>
  <si>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</si>
  <si>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</si>
  <si>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</si>
  <si>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</si>
  <si>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</si>
  <si>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</si>
  <si>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</si>
  <si>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</si>
  <si>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</si>
  <si>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</si>
  <si>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</si>
  <si>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</si>
  <si>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</si>
  <si>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</si>
  <si>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</si>
  <si>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</si>
  <si>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</si>
  <si>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</si>
  <si>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</si>
  <si>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</si>
  <si>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</si>
  <si>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</si>
  <si>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</si>
  <si>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</si>
  <si>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</si>
  <si>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</si>
  <si>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</si>
  <si>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</si>
  <si>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</si>
  <si>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</si>
  <si>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</si>
  <si>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</si>
  <si>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</si>
  <si>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</si>
  <si>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</si>
  <si>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</si>
  <si>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</si>
  <si>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</si>
  <si>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</si>
  <si>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</si>
  <si>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</si>
  <si>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</si>
  <si>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</si>
  <si>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</si>
  <si>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</si>
  <si>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</si>
  <si>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</si>
  <si>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</si>
  <si>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</si>
  <si>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</si>
  <si>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</si>
  <si>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</si>
  <si>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</si>
  <si>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</si>
  <si>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</si>
  <si>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</si>
  <si>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</si>
  <si>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</si>
  <si>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</si>
  <si>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</si>
  <si>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</si>
  <si>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</si>
  <si>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</si>
  <si>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</si>
  <si>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</si>
  <si>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</si>
  <si>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</si>
  <si>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</si>
  <si>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</si>
  <si>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</si>
  <si>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</si>
  <si>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</si>
  <si>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</si>
  <si>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</si>
  <si>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</si>
  <si>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</si>
  <si>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</si>
  <si>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</si>
  <si>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</si>
  <si>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</si>
  <si>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</si>
  <si>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</si>
  <si>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</si>
  <si>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</si>
  <si>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</si>
  <si>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</si>
  <si>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</si>
  <si>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</si>
  <si>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</si>
  <si>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</si>
  <si>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</si>
  <si>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</si>
  <si>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</si>
  <si>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</si>
  <si>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</si>
  <si>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</si>
  <si>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</si>
  <si>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</si>
  <si>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</si>
  <si>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</si>
  <si>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</si>
  <si>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</si>
  <si>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</si>
  <si>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</si>
  <si>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</si>
  <si>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</si>
  <si>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</si>
  <si>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</si>
  <si>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</si>
  <si>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</si>
  <si>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</si>
  <si>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</si>
  <si>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</si>
  <si>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</si>
  <si>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</si>
  <si>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</si>
  <si>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</si>
  <si>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</si>
  <si>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</si>
  <si>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</si>
  <si>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</si>
  <si>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</si>
  <si>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</si>
  <si>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</si>
  <si>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</si>
  <si>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</si>
  <si>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</si>
  <si>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</si>
  <si>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</si>
  <si>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</si>
  <si>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</si>
  <si>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</si>
  <si>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</si>
  <si>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</si>
  <si>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</si>
  <si>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</si>
  <si>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</si>
  <si>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</si>
  <si>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</si>
  <si>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</si>
  <si>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</si>
  <si>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</si>
  <si>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</si>
  <si>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</si>
  <si>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</si>
  <si>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</si>
  <si>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</si>
  <si>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</si>
  <si>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</si>
  <si>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</si>
  <si>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</si>
  <si>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</si>
  <si>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</si>
  <si>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</si>
  <si>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</si>
  <si>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</si>
  <si>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</si>
  <si>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</si>
  <si>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</si>
  <si>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</si>
  <si>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</si>
  <si>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</si>
  <si>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</si>
  <si>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</si>
  <si>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</si>
  <si>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</si>
  <si>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</si>
  <si>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</si>
  <si>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</si>
  <si>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</si>
  <si>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</si>
  <si>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</si>
  <si>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</si>
  <si>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</si>
  <si>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</si>
  <si>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</si>
  <si>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</si>
  <si>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</si>
  <si>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</si>
  <si>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</si>
  <si>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</si>
  <si>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</si>
  <si>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</si>
  <si>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</si>
  <si>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</si>
  <si>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</si>
  <si>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</si>
  <si>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</si>
  <si>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</si>
  <si>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</si>
  <si>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</si>
  <si>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</si>
  <si>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</si>
  <si>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</si>
  <si>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</si>
  <si>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</si>
  <si>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</si>
  <si>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</si>
  <si>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</si>
  <si>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</si>
  <si>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</si>
  <si>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</si>
  <si>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</si>
  <si>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</si>
  <si>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</si>
  <si>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</si>
  <si>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</si>
  <si>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</si>
  <si>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</si>
  <si>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</si>
  <si>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</si>
  <si>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</si>
  <si>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</si>
  <si>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</si>
  <si>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</si>
  <si>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</si>
  <si>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</si>
  <si>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</si>
  <si>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</si>
  <si>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</si>
  <si>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</si>
  <si>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</si>
  <si>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</si>
  <si>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</si>
  <si>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</si>
  <si>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</si>
  <si>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</si>
  <si>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</si>
  <si>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</si>
  <si>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</si>
  <si>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</si>
  <si>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</si>
  <si>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</si>
  <si>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</si>
  <si>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</si>
  <si>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</si>
  <si>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</si>
  <si>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</si>
  <si>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</si>
  <si>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</si>
  <si>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</si>
  <si>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</si>
  <si>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</si>
  <si>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</si>
  <si>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</si>
  <si>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</si>
  <si>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</si>
  <si>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</si>
  <si>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</si>
  <si>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</si>
  <si>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</si>
  <si>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</si>
  <si>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</si>
  <si>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</si>
  <si>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</si>
  <si>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</si>
  <si>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</si>
  <si>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</si>
  <si>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</si>
  <si>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</si>
  <si>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</si>
  <si>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</si>
  <si>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</si>
  <si>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</si>
  <si>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</si>
  <si>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</si>
  <si>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</si>
  <si>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</si>
  <si>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</si>
  <si>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</si>
  <si>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</si>
  <si>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</si>
  <si>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</si>
  <si>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</si>
  <si>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</si>
  <si>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</si>
  <si>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</si>
  <si>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</si>
  <si>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</si>
  <si>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</si>
  <si>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</si>
  <si>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</si>
  <si>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</si>
  <si>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</si>
  <si>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</si>
  <si>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</si>
  <si>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</si>
  <si>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</si>
  <si>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</si>
  <si>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</si>
  <si>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</si>
  <si>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</si>
  <si>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</si>
  <si>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</si>
  <si>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</si>
  <si>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</si>
  <si>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</si>
  <si>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</si>
  <si>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</si>
  <si>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</si>
  <si>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</si>
  <si>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</si>
  <si>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</si>
  <si>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</si>
  <si>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</si>
  <si>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</si>
  <si>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</si>
  <si>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</si>
  <si>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</si>
  <si>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</si>
  <si>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</si>
  <si>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</si>
  <si>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</si>
  <si>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</si>
  <si>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</si>
  <si>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</si>
  <si>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</si>
  <si>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</si>
  <si>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</si>
  <si>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</si>
  <si>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</si>
  <si>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</si>
  <si>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</si>
  <si>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</si>
  <si>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</si>
  <si>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</si>
  <si>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</si>
  <si>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</si>
  <si>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</si>
  <si>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</si>
  <si>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</si>
  <si>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</si>
  <si>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</si>
  <si>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</si>
  <si>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</si>
  <si>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</si>
  <si>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</si>
  <si>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</si>
  <si>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</si>
  <si>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</si>
  <si>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</si>
  <si>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</si>
  <si>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</si>
  <si>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</si>
  <si>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</si>
  <si>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</si>
  <si>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</si>
  <si>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</si>
  <si>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</si>
  <si>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</si>
  <si>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</si>
  <si>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</si>
  <si>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</si>
  <si>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</si>
  <si>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</si>
  <si>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</si>
  <si>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</si>
  <si>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</si>
  <si>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</si>
  <si>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</si>
  <si>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</si>
  <si>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</si>
  <si>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</si>
  <si>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</si>
  <si>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</si>
  <si>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</si>
  <si>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</si>
  <si>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</si>
  <si>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</si>
  <si>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</si>
  <si>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</si>
  <si>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</si>
  <si>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</si>
  <si>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</si>
  <si>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</si>
  <si>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</si>
  <si>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</si>
  <si>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</si>
  <si>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</si>
  <si>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</si>
  <si>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</si>
  <si>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</si>
  <si>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</si>
  <si>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</si>
  <si>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</si>
  <si>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</si>
  <si>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</si>
  <si>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</si>
  <si>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</si>
  <si>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</si>
  <si>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</si>
  <si>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</si>
  <si>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</si>
  <si>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</si>
  <si>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</si>
  <si>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</si>
  <si>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</si>
  <si>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</si>
  <si>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</si>
  <si>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</si>
  <si>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</si>
  <si>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</si>
  <si>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</si>
  <si>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</si>
  <si>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</si>
  <si>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</si>
  <si>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</si>
  <si>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</si>
  <si>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</si>
  <si>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</si>
  <si>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</si>
  <si>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</si>
  <si>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</si>
  <si>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</si>
  <si>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</si>
  <si>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</si>
  <si>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</si>
  <si>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</si>
  <si>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</si>
  <si>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</si>
  <si>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</si>
  <si>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</si>
  <si>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</si>
  <si>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</si>
  <si>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</si>
  <si>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</si>
  <si>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</si>
  <si>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</si>
  <si>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</si>
  <si>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</si>
  <si>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</si>
  <si>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</si>
  <si>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</si>
  <si>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</si>
  <si>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</si>
  <si>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</si>
  <si>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</si>
  <si>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</si>
  <si>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</si>
  <si>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</si>
  <si>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</si>
  <si>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</si>
  <si>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</si>
  <si>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</si>
  <si>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</si>
  <si>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</si>
  <si>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</si>
  <si>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</si>
  <si>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</si>
  <si>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</si>
  <si>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</si>
  <si>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</si>
  <si>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</si>
  <si>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</si>
  <si>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</si>
  <si>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</si>
  <si>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</si>
  <si>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</si>
  <si>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</si>
  <si>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</si>
  <si>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</si>
  <si>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</si>
  <si>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</si>
  <si>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</si>
  <si>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</si>
  <si>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</si>
  <si>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</si>
  <si>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</si>
  <si>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</si>
  <si>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</si>
  <si>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</si>
  <si>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</si>
  <si>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</si>
  <si>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</si>
  <si>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</si>
  <si>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</si>
  <si>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</si>
  <si>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</si>
  <si>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</si>
  <si>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</si>
  <si>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</si>
  <si>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</si>
  <si>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</si>
  <si>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</si>
  <si>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</si>
  <si>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</si>
  <si>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</si>
  <si>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</si>
  <si>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</si>
  <si>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</si>
  <si>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</si>
  <si>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</si>
  <si>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</si>
  <si>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</si>
  <si>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</si>
  <si>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</si>
  <si>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</si>
  <si>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</si>
  <si>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</si>
  <si>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</si>
  <si>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</si>
  <si>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</si>
  <si>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</si>
  <si>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</si>
  <si>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</si>
  <si>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</si>
  <si>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</si>
  <si>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</si>
  <si>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</si>
  <si>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</si>
  <si>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</si>
  <si>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</si>
  <si>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</si>
  <si>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</si>
  <si>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</si>
  <si>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</si>
  <si>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</si>
  <si>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</si>
  <si>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</si>
  <si>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</si>
  <si>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</si>
  <si>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</si>
  <si>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</si>
  <si>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</si>
  <si>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</si>
  <si>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</si>
  <si>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</si>
  <si>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</si>
  <si>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</si>
  <si>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</si>
  <si>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</si>
  <si>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</si>
  <si>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</si>
  <si>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</si>
  <si>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</si>
  <si>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</si>
  <si>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</si>
  <si>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</si>
  <si>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</si>
  <si>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</si>
  <si>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</si>
  <si>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</si>
  <si>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</si>
  <si>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</si>
  <si>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</si>
  <si>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</si>
  <si>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</si>
  <si>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</si>
  <si>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</si>
  <si>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</si>
  <si>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</si>
  <si>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</si>
  <si>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</si>
  <si>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</si>
  <si>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</si>
  <si>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</si>
  <si>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</si>
  <si>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</si>
  <si>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</si>
  <si>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</si>
  <si>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</si>
  <si>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</si>
  <si>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</si>
  <si>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</si>
  <si>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</si>
  <si>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</si>
  <si>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</si>
  <si>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</si>
  <si>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</si>
  <si>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</si>
  <si>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</si>
  <si>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</si>
  <si>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</si>
  <si>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</si>
  <si>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</si>
  <si>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</si>
  <si>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</si>
  <si>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</si>
  <si>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</si>
  <si>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</si>
  <si>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</si>
  <si>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</si>
  <si>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</si>
  <si>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</si>
  <si>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</si>
  <si>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</si>
  <si>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</si>
  <si>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</si>
  <si>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</si>
  <si>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</si>
  <si>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</si>
  <si>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</si>
  <si>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</si>
  <si>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</si>
  <si>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</si>
  <si>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</si>
  <si>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</si>
  <si>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</si>
  <si>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</si>
  <si>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</si>
  <si>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</si>
  <si>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</si>
  <si>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</si>
  <si>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</si>
  <si>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</si>
  <si>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</si>
  <si>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</si>
  <si>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</si>
  <si>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</si>
  <si>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</si>
  <si>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</si>
  <si>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</si>
  <si>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</si>
  <si>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</si>
  <si>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</si>
  <si>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</si>
  <si>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</si>
  <si>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</si>
  <si>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</si>
  <si>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</si>
  <si>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</si>
  <si>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</si>
  <si>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</si>
  <si>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</si>
  <si>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</si>
  <si>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</si>
  <si>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</si>
  <si>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</si>
  <si>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</si>
  <si>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</si>
  <si>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</si>
  <si>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</si>
  <si>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</si>
  <si>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</si>
  <si>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</si>
  <si>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</si>
  <si>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</si>
  <si>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</si>
  <si>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</si>
  <si>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</si>
  <si>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</si>
  <si>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</si>
  <si>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</si>
  <si>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</si>
  <si>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</si>
  <si>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</si>
  <si>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</si>
  <si>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</si>
  <si>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</si>
  <si>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</si>
  <si>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</si>
  <si>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</si>
  <si>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</si>
  <si>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</si>
  <si>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</si>
  <si>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</si>
  <si>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</si>
  <si>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</si>
  <si>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</si>
  <si>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</si>
  <si>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</si>
  <si>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</si>
  <si>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</si>
  <si>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</si>
  <si>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</si>
  <si>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</si>
  <si>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</si>
  <si>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</si>
  <si>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</si>
  <si>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</si>
  <si>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</si>
  <si>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</si>
  <si>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</si>
  <si>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</si>
  <si>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</si>
  <si>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</si>
  <si>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</si>
  <si>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</si>
  <si>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</si>
  <si>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</si>
  <si>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</si>
  <si>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</si>
  <si>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</si>
  <si>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</si>
  <si>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</si>
  <si>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</si>
  <si>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</si>
  <si>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</si>
  <si>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</si>
  <si>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</si>
  <si>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</si>
  <si>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</si>
  <si>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</si>
  <si>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</si>
  <si>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</si>
  <si>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</si>
  <si>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</si>
  <si>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</si>
  <si>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</si>
  <si>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</si>
  <si>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</si>
  <si>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</si>
  <si>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</si>
  <si>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</si>
  <si>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</si>
  <si>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</si>
  <si>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</si>
  <si>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</si>
  <si>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</si>
  <si>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</si>
  <si>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</si>
  <si>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</si>
  <si>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</si>
  <si>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</si>
  <si>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</si>
  <si>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</si>
  <si>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</si>
  <si>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</si>
  <si>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</si>
  <si>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</si>
  <si>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</si>
  <si>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</si>
  <si>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</si>
  <si>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</si>
  <si>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</si>
  <si>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</si>
  <si>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</si>
  <si>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</si>
  <si>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</si>
  <si>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</si>
  <si>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</si>
  <si>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</si>
  <si>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</si>
  <si>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</si>
  <si>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</si>
  <si>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</si>
  <si>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</si>
  <si>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</si>
  <si>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</si>
  <si>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</si>
  <si>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</si>
  <si>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</si>
  <si>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</si>
  <si>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</si>
  <si>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</si>
  <si>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</si>
  <si>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</si>
  <si>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</si>
  <si>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</si>
  <si>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</si>
  <si>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</si>
  <si>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</si>
  <si>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</si>
  <si>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</si>
  <si>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</si>
  <si>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</si>
  <si>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</si>
  <si>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</si>
  <si>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</si>
  <si>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</si>
  <si>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</si>
  <si>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</si>
  <si>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</si>
  <si>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</si>
  <si>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Missing values</t>
  </si>
  <si>
    <t>Column name</t>
  </si>
  <si>
    <t>Count</t>
  </si>
  <si>
    <t>Action taken</t>
  </si>
  <si>
    <t>Replaced blanks with Unknown</t>
  </si>
  <si>
    <t>No Action needed</t>
  </si>
  <si>
    <t>Group Counts</t>
  </si>
  <si>
    <t>Duplicate user IDs</t>
  </si>
  <si>
    <t>Invalid binary
 values</t>
  </si>
  <si>
    <t>None</t>
  </si>
  <si>
    <t>Segment Distribution across Groups</t>
  </si>
  <si>
    <t xml:space="preserve">Mobile </t>
  </si>
  <si>
    <t>Test inputs</t>
  </si>
  <si>
    <t>sample size</t>
  </si>
  <si>
    <t>conversions</t>
  </si>
  <si>
    <t>conversion rate</t>
  </si>
  <si>
    <t>Test Outputs</t>
  </si>
  <si>
    <t>Pooled Proportion</t>
  </si>
  <si>
    <t>Standard Error (SE)</t>
  </si>
  <si>
    <t>z-score</t>
  </si>
  <si>
    <t>alpha</t>
  </si>
  <si>
    <t>Is it Significant?</t>
  </si>
  <si>
    <t>P-value (two-tailed)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</si>
</sst>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74" formatCode="0.0000"/>
    <numFmt numFmtId="175" formatCode="0.00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3" fillId="0" borderId="1"/>
    <xf numFmtId="9" fontId="3" fillId="0" borderId="1" applyFont="0" applyFill="0" applyBorder="0" applyAlignment="0" applyProtection="0"/>
    <xf numFmtId="0" fontId="3" fillId="0" borderId="1"/>
  </cellStyleXfs>
  <cellXfs count="4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/>
    <xf numFmtId="0" fontId="0" fillId="0" borderId="14" xfId="0" applyBorder="1"/>
    <xf numFmtId="0" fontId="0" fillId="0" borderId="12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6" xfId="2" applyBorder="1"/>
    <xf numFmtId="0" fontId="3" fillId="0" borderId="7" xfId="2" applyBorder="1"/>
    <xf numFmtId="0" fontId="3" fillId="0" borderId="10" xfId="2" applyBorder="1"/>
    <xf numFmtId="10" fontId="0" fillId="0" borderId="4" xfId="1" applyNumberFormat="1" applyFont="1" applyBorder="1"/>
    <xf numFmtId="0" fontId="0" fillId="0" borderId="8" xfId="0" applyBorder="1"/>
    <xf numFmtId="10" fontId="0" fillId="0" borderId="9" xfId="1" applyNumberFormat="1" applyFont="1" applyBorder="1"/>
    <xf numFmtId="0" fontId="0" fillId="0" borderId="11" xfId="0" applyBorder="1"/>
    <xf numFmtId="0" fontId="3" fillId="0" borderId="15" xfId="4" applyFont="1" applyBorder="1"/>
    <xf numFmtId="0" fontId="3" fillId="0" borderId="17" xfId="4" applyBorder="1"/>
    <xf numFmtId="0" fontId="0" fillId="0" borderId="17" xfId="4" applyFont="1" applyBorder="1"/>
    <xf numFmtId="0" fontId="0" fillId="0" borderId="18" xfId="0" applyBorder="1"/>
    <xf numFmtId="0" fontId="2" fillId="0" borderId="4" xfId="0" applyFont="1" applyBorder="1"/>
    <xf numFmtId="10" fontId="0" fillId="0" borderId="16" xfId="1" applyNumberFormat="1" applyFont="1" applyBorder="1"/>
    <xf numFmtId="175" fontId="0" fillId="0" borderId="2" xfId="0" applyNumberFormat="1" applyBorder="1"/>
    <xf numFmtId="174" fontId="2" fillId="0" borderId="2" xfId="0" applyNumberFormat="1" applyFont="1" applyBorder="1"/>
  </cellXfs>
  <cellStyles count="5">
    <cellStyle name="Normal" xfId="0" builtinId="0"/>
    <cellStyle name="Normal 2" xfId="2"/>
    <cellStyle name="Normal 3" xfId="4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1"/>
  <sheetViews>
    <sheetView tabSelected="1" workbookViewId="0">
      <selection activeCell="D10" sqref="D10"/>
    </sheetView>
  </sheetViews>
  <sheetFormatPr defaultRowHeight="14"/>
  <cols>
    <col min="1" max="16" width="16" customWidth="1"/>
  </cols>
  <sheetData>
    <row r="1" spans="1:1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 t="s">
        <v>1433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 t="s">
        <v>1433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 t="s">
        <v>1433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 t="s">
        <v>1433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 t="s">
        <v>1433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E463" s="2" t="s">
        <v>1433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 t="s">
        <v>1433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E483" s="2" t="s">
        <v>1433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 t="s">
        <v>1433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E552" s="2" t="s">
        <v>1433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E556" s="2" t="s">
        <v>1433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 t="s">
        <v>1433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E674" s="2" t="s">
        <v>1433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E675" s="2" t="s">
        <v>1433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 t="s">
        <v>1433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 t="s">
        <v>1433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 t="s">
        <v>1433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 t="s">
        <v>1433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E767" s="2" t="s">
        <v>1433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E874" s="2" t="s">
        <v>1433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 t="s">
        <v>1433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 t="s">
        <v>1433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 t="s">
        <v>1433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 t="s">
        <v>1433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 t="s">
        <v>1433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 t="s">
        <v>1433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E1049" s="2" t="s">
        <v>1433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 t="s">
        <v>1433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 t="s">
        <v>1433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E1178" s="2" t="s">
        <v>1433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E1190" s="2" t="s">
        <v>1433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E1197" s="2" t="s">
        <v>1433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E1229" s="2" t="s">
        <v>1433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 t="s">
        <v>1433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 t="s">
        <v>1433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 t="s">
        <v>1433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E1272" s="2" t="s">
        <v>1433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 t="s">
        <v>1433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 t="s">
        <v>1433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E1336" s="2" t="s">
        <v>1433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 t="s">
        <v>1433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 t="s">
        <v>1433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</sheetData>
  <autoFilter ref="A1:P1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F20" sqref="F20"/>
    </sheetView>
  </sheetViews>
  <sheetFormatPr defaultRowHeight="14"/>
  <cols>
    <col min="1" max="1" width="16.5" customWidth="1"/>
    <col min="3" max="3" width="28.25" customWidth="1"/>
    <col min="11" max="11" width="10.4140625" customWidth="1"/>
  </cols>
  <sheetData>
    <row r="1" spans="1:14" ht="14.5" thickBot="1">
      <c r="A1" s="27" t="s">
        <v>1434</v>
      </c>
      <c r="B1" s="27"/>
      <c r="H1" s="27" t="s">
        <v>1444</v>
      </c>
      <c r="I1" s="27"/>
      <c r="J1" s="27"/>
      <c r="K1" s="27"/>
    </row>
    <row r="2" spans="1:14" ht="14.5" thickBot="1">
      <c r="A2" s="10" t="s">
        <v>1435</v>
      </c>
      <c r="B2" s="11" t="s">
        <v>1436</v>
      </c>
      <c r="C2" s="12" t="s">
        <v>1437</v>
      </c>
    </row>
    <row r="3" spans="1:14">
      <c r="A3" s="6" t="s">
        <v>4</v>
      </c>
      <c r="B3" s="8">
        <v>18</v>
      </c>
      <c r="C3" s="4" t="s">
        <v>1438</v>
      </c>
      <c r="H3" s="20"/>
      <c r="I3" s="21" t="s">
        <v>18</v>
      </c>
      <c r="J3" s="21" t="s">
        <v>32</v>
      </c>
      <c r="K3" s="21" t="s">
        <v>28</v>
      </c>
      <c r="L3" s="22" t="s">
        <v>23</v>
      </c>
    </row>
    <row r="4" spans="1:14">
      <c r="A4" s="6" t="s">
        <v>5</v>
      </c>
      <c r="B4" s="8">
        <v>24</v>
      </c>
      <c r="C4" s="4" t="s">
        <v>1438</v>
      </c>
      <c r="H4" s="6" t="s">
        <v>17</v>
      </c>
      <c r="I4" s="23">
        <v>201</v>
      </c>
      <c r="J4" s="23">
        <v>184</v>
      </c>
      <c r="K4" s="23">
        <v>157</v>
      </c>
      <c r="L4" s="24">
        <v>148</v>
      </c>
    </row>
    <row r="5" spans="1:14" ht="14.5" thickBot="1">
      <c r="A5" s="6" t="s">
        <v>15</v>
      </c>
      <c r="B5" s="8">
        <v>14</v>
      </c>
      <c r="C5" s="4" t="s">
        <v>1439</v>
      </c>
      <c r="H5" s="7" t="s">
        <v>723</v>
      </c>
      <c r="I5" s="25">
        <v>180</v>
      </c>
      <c r="J5" s="25">
        <v>183</v>
      </c>
      <c r="K5" s="25">
        <v>170</v>
      </c>
      <c r="L5" s="26">
        <v>177</v>
      </c>
    </row>
    <row r="6" spans="1:14" ht="14.5" thickBot="1">
      <c r="A6" s="7" t="s">
        <v>14</v>
      </c>
      <c r="B6" s="9">
        <v>1328</v>
      </c>
      <c r="C6" s="5" t="s">
        <v>1439</v>
      </c>
    </row>
    <row r="7" spans="1:14">
      <c r="H7" s="20"/>
      <c r="I7" s="21" t="s">
        <v>19</v>
      </c>
      <c r="J7" s="21" t="s">
        <v>1445</v>
      </c>
      <c r="K7" s="21" t="s">
        <v>34</v>
      </c>
      <c r="L7" s="22" t="s">
        <v>1433</v>
      </c>
    </row>
    <row r="8" spans="1:14">
      <c r="H8" s="6" t="s">
        <v>17</v>
      </c>
      <c r="I8" s="23">
        <v>200</v>
      </c>
      <c r="J8" s="23">
        <v>426</v>
      </c>
      <c r="K8" s="23">
        <v>55</v>
      </c>
      <c r="L8" s="24">
        <v>9</v>
      </c>
    </row>
    <row r="9" spans="1:14" ht="14.5" thickBot="1">
      <c r="A9" s="13" t="s">
        <v>1440</v>
      </c>
      <c r="H9" s="7" t="s">
        <v>723</v>
      </c>
      <c r="I9" s="25">
        <v>213</v>
      </c>
      <c r="J9" s="25">
        <v>432</v>
      </c>
      <c r="K9" s="25">
        <v>56</v>
      </c>
      <c r="L9" s="26">
        <v>9</v>
      </c>
    </row>
    <row r="10" spans="1:14" ht="14.5" thickBot="1">
      <c r="A10" s="10" t="s">
        <v>2</v>
      </c>
      <c r="B10" s="12" t="s">
        <v>1436</v>
      </c>
    </row>
    <row r="11" spans="1:14">
      <c r="A11" s="6" t="s">
        <v>17</v>
      </c>
      <c r="B11" s="14">
        <v>690</v>
      </c>
      <c r="H11" s="20"/>
      <c r="I11" s="21" t="s">
        <v>20</v>
      </c>
      <c r="J11" s="21" t="s">
        <v>25</v>
      </c>
      <c r="K11" s="21" t="s">
        <v>29</v>
      </c>
      <c r="L11" s="21" t="s">
        <v>39</v>
      </c>
      <c r="M11" s="21" t="s">
        <v>41</v>
      </c>
      <c r="N11" s="22" t="s">
        <v>1433</v>
      </c>
    </row>
    <row r="12" spans="1:14" ht="14.5" thickBot="1">
      <c r="A12" s="7" t="s">
        <v>723</v>
      </c>
      <c r="B12" s="15">
        <v>710</v>
      </c>
      <c r="H12" s="6" t="s">
        <v>17</v>
      </c>
      <c r="I12" s="23">
        <v>73</v>
      </c>
      <c r="J12" s="23">
        <v>246</v>
      </c>
      <c r="K12" s="23">
        <v>155</v>
      </c>
      <c r="L12" s="23">
        <v>81</v>
      </c>
      <c r="M12" s="23">
        <v>129</v>
      </c>
      <c r="N12" s="24">
        <v>6</v>
      </c>
    </row>
    <row r="13" spans="1:14" ht="14.5" thickBot="1">
      <c r="H13" s="7" t="s">
        <v>723</v>
      </c>
      <c r="I13" s="25">
        <v>56</v>
      </c>
      <c r="J13" s="25">
        <v>237</v>
      </c>
      <c r="K13" s="25">
        <v>176</v>
      </c>
      <c r="L13" s="25">
        <v>91</v>
      </c>
      <c r="M13" s="25">
        <v>132</v>
      </c>
      <c r="N13" s="26">
        <v>18</v>
      </c>
    </row>
    <row r="14" spans="1:14" ht="14.5" thickBot="1"/>
    <row r="15" spans="1:14" ht="14.5" thickBot="1">
      <c r="A15" s="17" t="s">
        <v>1441</v>
      </c>
      <c r="B15" s="16">
        <v>8</v>
      </c>
      <c r="H15" s="20"/>
      <c r="I15" s="21" t="s">
        <v>21</v>
      </c>
      <c r="J15" s="21" t="s">
        <v>26</v>
      </c>
      <c r="K15" s="22" t="s">
        <v>30</v>
      </c>
    </row>
    <row r="16" spans="1:14">
      <c r="H16" s="6" t="s">
        <v>17</v>
      </c>
      <c r="I16" s="23">
        <v>221</v>
      </c>
      <c r="J16" s="23">
        <v>360</v>
      </c>
      <c r="K16" s="24">
        <v>109</v>
      </c>
    </row>
    <row r="17" spans="1:11" ht="14.5" thickBot="1">
      <c r="H17" s="7" t="s">
        <v>723</v>
      </c>
      <c r="I17" s="25">
        <v>232</v>
      </c>
      <c r="J17" s="25">
        <v>366</v>
      </c>
      <c r="K17" s="26">
        <v>112</v>
      </c>
    </row>
    <row r="18" spans="1:11" ht="28.5" thickBot="1">
      <c r="A18" s="18" t="s">
        <v>1442</v>
      </c>
      <c r="B18" s="19" t="s">
        <v>1443</v>
      </c>
    </row>
  </sheetData>
  <mergeCells count="2">
    <mergeCell ref="A1:B1"/>
    <mergeCell ref="H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12" sqref="C12"/>
    </sheetView>
  </sheetViews>
  <sheetFormatPr defaultRowHeight="14"/>
  <cols>
    <col min="1" max="1" width="14.9140625" customWidth="1"/>
    <col min="3" max="3" width="9.33203125" customWidth="1"/>
    <col min="6" max="6" width="22" customWidth="1"/>
    <col min="7" max="7" width="16.1640625" customWidth="1"/>
  </cols>
  <sheetData>
    <row r="1" spans="1:7" ht="14.5" thickBot="1">
      <c r="A1" s="13" t="s">
        <v>1446</v>
      </c>
      <c r="F1" s="13" t="s">
        <v>1450</v>
      </c>
    </row>
    <row r="2" spans="1:7">
      <c r="A2" s="30"/>
      <c r="B2" s="34" t="s">
        <v>17</v>
      </c>
      <c r="C2" s="22" t="s">
        <v>723</v>
      </c>
      <c r="F2" s="35" t="s">
        <v>1451</v>
      </c>
      <c r="G2" s="40">
        <f>(B4+C4)/(B3+C3)</f>
        <v>5.1428571428571428E-2</v>
      </c>
    </row>
    <row r="3" spans="1:7">
      <c r="A3" s="28" t="s">
        <v>1447</v>
      </c>
      <c r="B3" s="32">
        <v>690</v>
      </c>
      <c r="C3" s="4">
        <v>710</v>
      </c>
      <c r="F3" s="36" t="s">
        <v>1452</v>
      </c>
      <c r="G3" s="41">
        <f>SQRT(G2*(1-G2)*(1/B3 + 1/C3))</f>
        <v>1.1807217085124241E-2</v>
      </c>
    </row>
    <row r="4" spans="1:7">
      <c r="A4" s="28" t="s">
        <v>1448</v>
      </c>
      <c r="B4" s="32">
        <f>SUMIF(experiment_data_cleaned!C:C, "Control", experiment_data_cleaned!K:K)</f>
        <v>22</v>
      </c>
      <c r="C4" s="4">
        <f>SUMIF(experiment_data_cleaned!C:C, "Treatment", experiment_data_cleaned!K:K)</f>
        <v>50</v>
      </c>
      <c r="F4" s="36" t="s">
        <v>1453</v>
      </c>
      <c r="G4" s="41">
        <f>(C5-B5)/G3</f>
        <v>3.263976342808776</v>
      </c>
    </row>
    <row r="5" spans="1:7" ht="14.5" thickBot="1">
      <c r="A5" s="29" t="s">
        <v>1449</v>
      </c>
      <c r="B5" s="33">
        <f>B4/B3</f>
        <v>3.1884057971014491E-2</v>
      </c>
      <c r="C5" s="31">
        <f>C4/C3</f>
        <v>7.0422535211267609E-2</v>
      </c>
      <c r="F5" s="37" t="s">
        <v>1456</v>
      </c>
      <c r="G5" s="42">
        <f>2*(1-_xlfn.NORM.S.DIST(ABS(G4), TRUE))</f>
        <v>1.0986033818929375E-3</v>
      </c>
    </row>
    <row r="6" spans="1:7">
      <c r="F6" s="36" t="s">
        <v>1454</v>
      </c>
      <c r="G6" s="4">
        <v>0.05</v>
      </c>
    </row>
    <row r="7" spans="1:7" ht="14.5" thickBot="1">
      <c r="F7" s="38" t="s">
        <v>1455</v>
      </c>
      <c r="G7" s="39" t="str">
        <f>IF(G5&lt;G6, "YES - Reject Null", "NO - Fail to Reject Null")</f>
        <v>YES - Reject Null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experiment_data_cleaned</vt:lpstr>
      <vt:lpstr>analysis_check</vt:lpstr>
      <vt:lpstr>Hypothesis_Test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Annson Colaco</cp:lastModifiedBy>
  <dcterms:modified xsi:type="dcterms:W3CDTF">2026-06-26T19:37:19Z</dcterms:modified>
</cp:coreProperties>
</file>